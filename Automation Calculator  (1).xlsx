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лькулятор" sheetId="1" r:id="rId5"/>
    <sheet state="visible" name="Пример оценки процесса" sheetId="2" r:id="rId6"/>
    <sheet state="visible" name="Пример расчёта KPI" sheetId="3" r:id="rId7"/>
  </sheets>
  <definedNames/>
  <calcPr/>
</workbook>
</file>

<file path=xl/sharedStrings.xml><?xml version="1.0" encoding="utf-8"?>
<sst xmlns="http://schemas.openxmlformats.org/spreadsheetml/2006/main" count="116" uniqueCount="108">
  <si>
    <t>Переменная</t>
  </si>
  <si>
    <t>Суть</t>
  </si>
  <si>
    <t>Значение</t>
  </si>
  <si>
    <t>Единица</t>
  </si>
  <si>
    <t>Описание</t>
  </si>
  <si>
    <t>Как получить цифру</t>
  </si>
  <si>
    <t>Hm​</t>
  </si>
  <si>
    <t>Экономия ручных часов в месяц</t>
  </si>
  <si>
    <t>часов / месяц</t>
  </si>
  <si>
    <t>Автоматизация убирает ≈ человеко-часов ежемесячно; это прямой фонд оплаты труда.</t>
  </si>
  <si>
    <t>Снимаем видео-скрипт: фиксируем время на один цикл × количество циклов в месяц. Умножаем на 0,9 – 0,95 для погрешности.</t>
  </si>
  <si>
    <t>L</t>
  </si>
  <si>
    <t>Коэффициент фактической загрузки сотрудника</t>
  </si>
  <si>
    <t>%</t>
  </si>
  <si>
    <t>Реально человек работает только % рабочего времени :-)</t>
  </si>
  <si>
    <t>Стандарт 0,8: отпуск, обед, митинги, перекуры, болезни, соцсети. Берём корпоративный HR-норматив, если есть.</t>
  </si>
  <si>
    <t>Ch​</t>
  </si>
  <si>
    <t>Полная стоимость часа сотрудника</t>
  </si>
  <si>
    <t>₽ / час</t>
  </si>
  <si>
    <t>Один час такого специалиста обходится компании.</t>
  </si>
  <si>
    <t>Брутто-оклад + страховые + премии + косвенные (рабочее место, софт) ÷ 168 ч.</t>
  </si>
  <si>
    <t>Sm​</t>
  </si>
  <si>
    <t>Прочая денежная выгода за месяц</t>
  </si>
  <si>
    <t>₽ / месяц</t>
  </si>
  <si>
    <t>Помимо экономии ФОТ, получаем доп. эффект.</t>
  </si>
  <si>
    <t>Штрафы «до автоматизации» минус «после»; рост выручки от более быстрой обработки заказов, новые задачи для освободившегося сотрудника.</t>
  </si>
  <si>
    <t>Om​</t>
  </si>
  <si>
    <t>Ежемесячные операционные затраты решения</t>
  </si>
  <si>
    <t>Чтобы сервис работал, нужно заплатить...</t>
  </si>
  <si>
    <t>VPS, домен, резервные копии, ваше сопровождение, как автора.</t>
  </si>
  <si>
    <t>I0​</t>
  </si>
  <si>
    <t>Разовый бюджет создания / внедрения</t>
  </si>
  <si>
    <t>₽</t>
  </si>
  <si>
    <t>Единовременные инвестиции —  ₽, платятся один раз, это ваша основная работа.</t>
  </si>
  <si>
    <t>Аудит процесса + разработка + обучение + запуск. Фиксируем в КП.</t>
  </si>
  <si>
    <t>n</t>
  </si>
  <si>
    <t>Горизонт оценки</t>
  </si>
  <si>
    <t>месяцев</t>
  </si>
  <si>
    <t>Считаем эффект за несколько месяцев чтобы показать итог.</t>
  </si>
  <si>
    <t>Обычно 12 или 24. Берём срок, на который утвердили бюджет.</t>
  </si>
  <si>
    <t>r</t>
  </si>
  <si>
    <t>Дисконтирование для NPV</t>
  </si>
  <si>
    <t>FTE</t>
  </si>
  <si>
    <t>Кол-во освобождённых «полных» ставок</t>
  </si>
  <si>
    <t>целых сотрудников (ставка «100%»)</t>
  </si>
  <si>
    <t>Показывает, скольких людей можно убрать/переназначить. 50% = полдня работы одного сотрудника каждый день.</t>
  </si>
  <si>
    <t>C2 / (168 * C3) (часы экономии ÷ норма часа в мес. ÷ коэффициент загрузки)</t>
  </si>
  <si>
    <t>B_m</t>
  </si>
  <si>
    <t>Чистая выгода в месяц</t>
  </si>
  <si>
    <t>Денежный поток, который реально остаётся после автоматизации. Он поступает каждый месяц на всём горизонте.</t>
  </si>
  <si>
    <t>C2 * C4 + C5 - C6</t>
  </si>
  <si>
    <t>ROI_n</t>
  </si>
  <si>
    <t>Доходность за горизонт n</t>
  </si>
  <si>
    <t>Показывает, сколько рублей прибыли приносит каждый рубль вложений за весь период. Порог &gt; 0 — проект выгоден.</t>
  </si>
  <si>
    <t>(C14 * C8 - C7) / C7</t>
  </si>
  <si>
    <t>Payback</t>
  </si>
  <si>
    <t>Срок окупаемости</t>
  </si>
  <si>
    <t>Через сколько месяцев стартовые вложения возвращаются. Чем меньше, тем лучше.</t>
  </si>
  <si>
    <t>C7 / C14</t>
  </si>
  <si>
    <t>TCO_n</t>
  </si>
  <si>
    <t>Полная стоимость владения</t>
  </si>
  <si>
    <t>₽ за выбранный горизонт</t>
  </si>
  <si>
    <t>Сколько денег компания потратит на автоматизацию за выбранный горизонт с учётом поддержки.</t>
  </si>
  <si>
    <t>C6 + C5 * C7</t>
  </si>
  <si>
    <t>NPV</t>
  </si>
  <si>
    <t>Чистая приведённая стоимость</t>
  </si>
  <si>
    <t>Сколько проект «стоит» сегодня, учитывая обесценивание будущих денег. &gt; 0 — создаёт ценность.</t>
  </si>
  <si>
    <t xml:space="preserve">NPV($C$9/12, ARRAYFORMULA($C$14*SEQUENCE($C$8,1,1,0))) - $C$7
</t>
  </si>
  <si>
    <t>IRR</t>
  </si>
  <si>
    <t>Внутренняя норма доходности</t>
  </si>
  <si>
    <t>% годовых</t>
  </si>
  <si>
    <t>Ставка, при которой NPV = 0. Если IRR выше требуемой доходности компании / WACC, проект проходит.</t>
  </si>
  <si>
    <t xml:space="preserve">IRR({-$C$7; ARRAYFORMULA($C$14*SEQUENCE($C$8,1,1,0))})
</t>
  </si>
  <si>
    <t>Операция</t>
  </si>
  <si>
    <t>Исполнитель</t>
  </si>
  <si>
    <t>Время на единицу (мин)</t>
  </si>
  <si>
    <t>Ставка (руб/мин)</t>
  </si>
  <si>
    <t>Стоимость на единицу</t>
  </si>
  <si>
    <t>Ввод счета в систему</t>
  </si>
  <si>
    <t>Оператор (бухгалтерия)</t>
  </si>
  <si>
    <t>Проверка и подтверждение счета</t>
  </si>
  <si>
    <t>Менеджер фин. отдела</t>
  </si>
  <si>
    <t>Итого на 1 счет</t>
  </si>
  <si>
    <t>–</t>
  </si>
  <si>
    <t>KPI</t>
  </si>
  <si>
    <t>До автоматизации</t>
  </si>
  <si>
    <t>После автоматизации</t>
  </si>
  <si>
    <t>Изменение</t>
  </si>
  <si>
    <t>Время обработки заказа</t>
  </si>
  <si>
    <t>15 минут</t>
  </si>
  <si>
    <t>3 минуты</t>
  </si>
  <si>
    <t>Объем заказов на сотрудника</t>
  </si>
  <si>
    <t>20 в день</t>
  </si>
  <si>
    <t>100 в день</t>
  </si>
  <si>
    <t>400% (5x)</t>
  </si>
  <si>
    <t>Ошибки при вводе данных</t>
  </si>
  <si>
    <t>~5% заказов с ошибкой</t>
  </si>
  <si>
    <t>0% (автоматически без ошибок)</t>
  </si>
  <si>
    <t>Ошибки устранены</t>
  </si>
  <si>
    <t>Ежемесячно затраченное время</t>
  </si>
  <si>
    <t>200 часов</t>
  </si>
  <si>
    <t>20 часов</t>
  </si>
  <si>
    <t>-180 ч (90%)</t>
  </si>
  <si>
    <t>Экономия ФОТ (руб/мес)</t>
  </si>
  <si>
    <t>120 000 ₽</t>
  </si>
  <si>
    <t>120k (снижение затрат)</t>
  </si>
  <si>
    <t>Окупаемость проекта</t>
  </si>
  <si>
    <t>5 месяцев (прогноз)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</si>
</sst>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[$ ₽]#,##0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CCCCCC"/>
      <name val="Arial"/>
      <scheme val="minor"/>
    </font>
    <font>
      <color rgb="FFCCCCCC"/>
      <name val="Arial"/>
      <scheme val="minor"/>
    </font>
    <font>
      <b/>
      <color rgb="FFFFFFFF"/>
      <name val="Arial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2" fontId="1" numFmtId="0" xfId="0" applyAlignment="1" applyFont="1">
      <alignment horizontal="left" readingOrder="0" shrinkToFit="0" vertical="top" wrapText="1"/>
    </xf>
    <xf borderId="0" fillId="2" fontId="1" numFmtId="0" xfId="0" applyAlignment="1" applyFont="1">
      <alignment horizontal="right" readingOrder="0" vertical="top"/>
    </xf>
    <xf borderId="0" fillId="2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horizontal="left" readingOrder="0" shrinkToFit="0" vertical="top" wrapText="1"/>
    </xf>
    <xf borderId="0" fillId="3" fontId="2" numFmtId="0" xfId="0" applyAlignment="1" applyFill="1" applyFont="1">
      <alignment horizontal="right" readingOrder="0" vertical="top"/>
    </xf>
    <xf borderId="0" fillId="0" fontId="3" numFmtId="0" xfId="0" applyAlignment="1" applyFont="1">
      <alignment readingOrder="0" shrinkToFit="0" vertical="top" wrapText="1"/>
    </xf>
    <xf borderId="0" fillId="3" fontId="2" numFmtId="9" xfId="0" applyAlignment="1" applyFont="1" applyNumberFormat="1">
      <alignment horizontal="right" readingOrder="0" vertical="top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right" readingOrder="0" vertical="top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3" numFmtId="0" xfId="0" applyAlignment="1" applyFont="1">
      <alignment horizontal="left" shrinkToFit="0" vertical="top" wrapText="1"/>
    </xf>
    <xf borderId="0" fillId="0" fontId="2" numFmtId="0" xfId="0" applyAlignment="1" applyFont="1">
      <alignment horizontal="right" vertical="top"/>
    </xf>
    <xf borderId="0" fillId="0" fontId="3" numFmtId="0" xfId="0" applyAlignment="1" applyFont="1">
      <alignment shrinkToFit="0" vertical="top" wrapText="1"/>
    </xf>
    <xf borderId="0" fillId="0" fontId="2" numFmtId="9" xfId="0" applyAlignment="1" applyFont="1" applyNumberFormat="1">
      <alignment horizontal="right" vertical="top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horizontal="right" vertical="top"/>
    </xf>
    <xf borderId="0" fillId="0" fontId="2" numFmtId="165" xfId="0" applyAlignment="1" applyFont="1" applyNumberFormat="1">
      <alignment horizontal="right" vertical="top"/>
    </xf>
    <xf borderId="0" fillId="0" fontId="4" numFmtId="166" xfId="0" applyAlignment="1" applyFont="1" applyNumberFormat="1">
      <alignment horizontal="right" vertical="top"/>
    </xf>
    <xf borderId="0" fillId="0" fontId="4" numFmtId="0" xfId="0" applyAlignment="1" applyFont="1">
      <alignment readingOrder="0" shrinkToFit="0" vertical="top" wrapText="1"/>
    </xf>
    <xf borderId="0" fillId="0" fontId="4" numFmtId="9" xfId="0" applyAlignment="1" applyFont="1" applyNumberFormat="1">
      <alignment horizontal="right" vertical="top"/>
    </xf>
    <xf borderId="0" fillId="0" fontId="3" numFmtId="0" xfId="0" applyAlignment="1" applyFont="1">
      <alignment horizontal="left" readingOrder="0" shrinkToFit="0" vertical="top" wrapText="1"/>
    </xf>
    <xf borderId="0" fillId="2" fontId="6" numFmtId="0" xfId="0" applyAlignment="1" applyFont="1">
      <alignment vertical="bottom"/>
    </xf>
    <xf borderId="0" fillId="2" fontId="6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3" fontId="7" numFmtId="9" xfId="0" applyAlignment="1" applyFont="1" applyNumberFormat="1">
      <alignment vertical="bottom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4.5"/>
    <col customWidth="1" min="3" max="3" width="11.63"/>
    <col customWidth="1" min="4" max="4" width="14.25"/>
    <col customWidth="1" min="5" max="5" width="45.88"/>
    <col customWidth="1" min="6" max="6" width="65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>
      <c r="A2" s="5" t="s">
        <v>6</v>
      </c>
      <c r="B2" s="6" t="s">
        <v>7</v>
      </c>
      <c r="C2" s="7">
        <f>160*5</f>
        <v>800</v>
      </c>
      <c r="D2" s="6" t="s">
        <v>8</v>
      </c>
      <c r="E2" s="6" t="s">
        <v>9</v>
      </c>
      <c r="F2" s="8" t="s">
        <v>10</v>
      </c>
    </row>
    <row r="3">
      <c r="A3" s="5" t="s">
        <v>11</v>
      </c>
      <c r="B3" s="6" t="s">
        <v>12</v>
      </c>
      <c r="C3" s="9">
        <v>0.8</v>
      </c>
      <c r="D3" s="6" t="s">
        <v>13</v>
      </c>
      <c r="E3" s="6" t="s">
        <v>14</v>
      </c>
      <c r="F3" s="8" t="s">
        <v>15</v>
      </c>
    </row>
    <row r="4">
      <c r="A4" s="5" t="s">
        <v>16</v>
      </c>
      <c r="B4" s="6" t="s">
        <v>17</v>
      </c>
      <c r="C4" s="7">
        <v>2500.0</v>
      </c>
      <c r="D4" s="6" t="s">
        <v>18</v>
      </c>
      <c r="E4" s="6" t="s">
        <v>19</v>
      </c>
      <c r="F4" s="8" t="s">
        <v>20</v>
      </c>
    </row>
    <row r="5">
      <c r="A5" s="5" t="s">
        <v>21</v>
      </c>
      <c r="B5" s="6" t="s">
        <v>22</v>
      </c>
      <c r="C5" s="7">
        <v>15000.0</v>
      </c>
      <c r="D5" s="6" t="s">
        <v>23</v>
      </c>
      <c r="E5" s="6" t="s">
        <v>24</v>
      </c>
      <c r="F5" s="8" t="s">
        <v>25</v>
      </c>
    </row>
    <row r="6">
      <c r="A6" s="5" t="s">
        <v>26</v>
      </c>
      <c r="B6" s="6" t="s">
        <v>27</v>
      </c>
      <c r="C6" s="7">
        <v>10000.0</v>
      </c>
      <c r="D6" s="6" t="s">
        <v>23</v>
      </c>
      <c r="E6" s="6" t="s">
        <v>28</v>
      </c>
      <c r="F6" s="8" t="s">
        <v>29</v>
      </c>
    </row>
    <row r="7">
      <c r="A7" s="5" t="s">
        <v>30</v>
      </c>
      <c r="B7" s="6" t="s">
        <v>31</v>
      </c>
      <c r="C7" s="7">
        <v>300000.0</v>
      </c>
      <c r="D7" s="6" t="s">
        <v>32</v>
      </c>
      <c r="E7" s="6" t="s">
        <v>33</v>
      </c>
      <c r="F7" s="8" t="s">
        <v>34</v>
      </c>
    </row>
    <row r="8">
      <c r="A8" s="5" t="s">
        <v>35</v>
      </c>
      <c r="B8" s="6" t="s">
        <v>36</v>
      </c>
      <c r="C8" s="7">
        <v>12.0</v>
      </c>
      <c r="D8" s="6" t="s">
        <v>37</v>
      </c>
      <c r="E8" s="6" t="s">
        <v>38</v>
      </c>
      <c r="F8" s="8" t="s">
        <v>39</v>
      </c>
    </row>
    <row r="9">
      <c r="A9" s="10" t="s">
        <v>40</v>
      </c>
      <c r="B9" s="11" t="s">
        <v>41</v>
      </c>
      <c r="C9" s="12">
        <v>0.2</v>
      </c>
      <c r="D9" s="13"/>
      <c r="E9" s="13"/>
      <c r="F9" s="14"/>
    </row>
    <row r="10">
      <c r="A10" s="15"/>
      <c r="B10" s="16"/>
      <c r="C10" s="17"/>
      <c r="D10" s="16"/>
      <c r="E10" s="16"/>
      <c r="F10" s="18"/>
    </row>
    <row r="11">
      <c r="A11" s="15"/>
      <c r="B11" s="16"/>
      <c r="C11" s="17"/>
      <c r="D11" s="16"/>
      <c r="E11" s="16"/>
      <c r="F11" s="18"/>
    </row>
    <row r="12">
      <c r="A12" s="15"/>
      <c r="B12" s="16"/>
      <c r="C12" s="17"/>
      <c r="D12" s="16"/>
      <c r="E12" s="16"/>
      <c r="F12" s="18"/>
    </row>
    <row r="13">
      <c r="A13" s="5" t="s">
        <v>42</v>
      </c>
      <c r="B13" s="6" t="s">
        <v>43</v>
      </c>
      <c r="C13" s="19">
        <f>C2/(168*C3)</f>
        <v>5.952380952</v>
      </c>
      <c r="D13" s="6" t="s">
        <v>44</v>
      </c>
      <c r="E13" s="6" t="s">
        <v>45</v>
      </c>
      <c r="F13" s="20" t="s">
        <v>46</v>
      </c>
    </row>
    <row r="14">
      <c r="A14" s="5" t="s">
        <v>47</v>
      </c>
      <c r="B14" s="6" t="s">
        <v>48</v>
      </c>
      <c r="C14" s="17">
        <f>C2*C4+C5-C6</f>
        <v>2005000</v>
      </c>
      <c r="D14" s="6" t="s">
        <v>23</v>
      </c>
      <c r="E14" s="6" t="s">
        <v>49</v>
      </c>
      <c r="F14" s="20" t="s">
        <v>50</v>
      </c>
    </row>
    <row r="15">
      <c r="A15" s="5" t="s">
        <v>51</v>
      </c>
      <c r="B15" s="6" t="s">
        <v>52</v>
      </c>
      <c r="C15" s="21">
        <f>(C14*C8-C7)/C7</f>
        <v>79.2</v>
      </c>
      <c r="D15" s="6" t="s">
        <v>13</v>
      </c>
      <c r="E15" s="6" t="s">
        <v>53</v>
      </c>
      <c r="F15" s="20" t="s">
        <v>54</v>
      </c>
    </row>
    <row r="16">
      <c r="A16" s="5" t="s">
        <v>55</v>
      </c>
      <c r="B16" s="6" t="s">
        <v>56</v>
      </c>
      <c r="C16" s="22">
        <f>C7/C14</f>
        <v>0.1496259352</v>
      </c>
      <c r="D16" s="6" t="s">
        <v>37</v>
      </c>
      <c r="E16" s="6" t="s">
        <v>57</v>
      </c>
      <c r="F16" s="20" t="s">
        <v>58</v>
      </c>
    </row>
    <row r="17">
      <c r="A17" s="5" t="s">
        <v>59</v>
      </c>
      <c r="B17" s="6" t="s">
        <v>60</v>
      </c>
      <c r="C17" s="17">
        <f>C7+C6*C8</f>
        <v>420000</v>
      </c>
      <c r="D17" s="6" t="s">
        <v>61</v>
      </c>
      <c r="E17" s="6" t="s">
        <v>62</v>
      </c>
      <c r="F17" s="20" t="s">
        <v>63</v>
      </c>
    </row>
    <row r="18" hidden="1">
      <c r="A18" s="10" t="s">
        <v>64</v>
      </c>
      <c r="B18" s="11" t="s">
        <v>65</v>
      </c>
      <c r="C18" s="23">
        <f t="array" ref="C18">NPV($C$9/12, $C$14*SEQUENCE($C$8,1,1,0)) - $C$7
</f>
        <v>21344202.46</v>
      </c>
      <c r="D18" s="11" t="s">
        <v>32</v>
      </c>
      <c r="E18" s="11" t="s">
        <v>66</v>
      </c>
      <c r="F18" s="24" t="s">
        <v>67</v>
      </c>
    </row>
    <row r="19" hidden="1">
      <c r="A19" s="10" t="s">
        <v>68</v>
      </c>
      <c r="B19" s="11" t="s">
        <v>69</v>
      </c>
      <c r="C19" s="25">
        <f t="array" ref="C19">IRR({-$C$7; $C$14*SEQUENCE($C$8,1,1,0)})
</f>
        <v>6.683333333</v>
      </c>
      <c r="D19" s="11" t="s">
        <v>70</v>
      </c>
      <c r="E19" s="11" t="s">
        <v>71</v>
      </c>
      <c r="F19" s="24" t="s">
        <v>72</v>
      </c>
    </row>
    <row r="20">
      <c r="A20" s="15"/>
      <c r="B20" s="16"/>
      <c r="C20" s="17"/>
      <c r="D20" s="16"/>
      <c r="E20" s="16"/>
      <c r="F20" s="18"/>
    </row>
    <row r="21">
      <c r="A21" s="15"/>
      <c r="B21" s="26"/>
      <c r="C21" s="17"/>
      <c r="D21" s="16"/>
      <c r="E21" s="16"/>
      <c r="F21" s="18"/>
    </row>
  </sheetData>
  <conditionalFormatting sqref="C15">
    <cfRule type="cellIs" dxfId="0" priority="1" operator="lessThan">
      <formula>0</formula>
    </cfRule>
  </conditionalFormatting>
  <conditionalFormatting sqref="C14">
    <cfRule type="cellIs" dxfId="1" priority="2" operator="lessThan">
      <formula>50000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9.63"/>
    <col customWidth="1" min="3" max="3" width="21.0"/>
    <col customWidth="1" min="4" max="4" width="15.0"/>
    <col customWidth="1" min="5" max="5" width="19.88"/>
  </cols>
  <sheetData>
    <row r="1">
      <c r="A1" s="27" t="s">
        <v>73</v>
      </c>
      <c r="B1" s="27" t="s">
        <v>74</v>
      </c>
      <c r="C1" s="28" t="s">
        <v>75</v>
      </c>
      <c r="D1" s="28" t="s">
        <v>76</v>
      </c>
      <c r="E1" s="28" t="s">
        <v>77</v>
      </c>
    </row>
    <row r="2">
      <c r="A2" s="29" t="s">
        <v>78</v>
      </c>
      <c r="B2" s="30" t="s">
        <v>79</v>
      </c>
      <c r="C2" s="31">
        <v>8.0</v>
      </c>
      <c r="D2" s="31">
        <v>17.0</v>
      </c>
      <c r="E2" s="31">
        <f t="shared" ref="E2:E3" si="1">C2*D2</f>
        <v>136</v>
      </c>
    </row>
    <row r="3">
      <c r="A3" s="29" t="s">
        <v>80</v>
      </c>
      <c r="B3" s="30" t="s">
        <v>81</v>
      </c>
      <c r="C3" s="31">
        <v>2.0</v>
      </c>
      <c r="D3" s="31">
        <v>33.0</v>
      </c>
      <c r="E3" s="31">
        <f t="shared" si="1"/>
        <v>66</v>
      </c>
    </row>
    <row r="4">
      <c r="A4" s="29" t="s">
        <v>82</v>
      </c>
      <c r="B4" s="29" t="s">
        <v>83</v>
      </c>
      <c r="C4" s="32">
        <f>sum(C2:C3)</f>
        <v>10</v>
      </c>
      <c r="D4" s="32" t="s">
        <v>83</v>
      </c>
      <c r="E4" s="32">
        <f>sum(E2:E3)</f>
        <v>202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9.25"/>
    <col customWidth="1" min="3" max="3" width="25.75"/>
    <col customWidth="1" min="4" max="4" width="20.0"/>
  </cols>
  <sheetData>
    <row r="1">
      <c r="A1" s="27" t="s">
        <v>84</v>
      </c>
      <c r="B1" s="27" t="s">
        <v>85</v>
      </c>
      <c r="C1" s="27" t="s">
        <v>86</v>
      </c>
      <c r="D1" s="27" t="s">
        <v>87</v>
      </c>
    </row>
    <row r="2">
      <c r="A2" s="29" t="s">
        <v>88</v>
      </c>
      <c r="B2" s="30" t="s">
        <v>89</v>
      </c>
      <c r="C2" s="30" t="s">
        <v>90</v>
      </c>
      <c r="D2" s="33">
        <v>-0.8</v>
      </c>
    </row>
    <row r="3">
      <c r="A3" s="29" t="s">
        <v>91</v>
      </c>
      <c r="B3" s="30" t="s">
        <v>92</v>
      </c>
      <c r="C3" s="30" t="s">
        <v>93</v>
      </c>
      <c r="D3" s="34" t="s">
        <v>94</v>
      </c>
    </row>
    <row r="4">
      <c r="A4" s="29" t="s">
        <v>95</v>
      </c>
      <c r="B4" s="30" t="s">
        <v>96</v>
      </c>
      <c r="C4" s="30" t="s">
        <v>97</v>
      </c>
      <c r="D4" s="34" t="s">
        <v>98</v>
      </c>
    </row>
    <row r="5">
      <c r="A5" s="29" t="s">
        <v>99</v>
      </c>
      <c r="B5" s="30" t="s">
        <v>100</v>
      </c>
      <c r="C5" s="30" t="s">
        <v>101</v>
      </c>
      <c r="D5" s="34" t="s">
        <v>102</v>
      </c>
    </row>
    <row r="6">
      <c r="A6" s="29" t="s">
        <v>103</v>
      </c>
      <c r="B6" s="30">
        <v>0.0</v>
      </c>
      <c r="C6" s="30" t="s">
        <v>104</v>
      </c>
      <c r="D6" s="34" t="s">
        <v>105</v>
      </c>
    </row>
    <row r="7">
      <c r="A7" s="29" t="s">
        <v>106</v>
      </c>
      <c r="B7" s="30" t="s">
        <v>83</v>
      </c>
      <c r="C7" s="30" t="s">
        <v>107</v>
      </c>
      <c r="D7" s="30" t="s">
        <v>83</v>
      </c>
    </row>
  </sheetData>
  <drawing r:id="rId1"/>
</worksheet>
</file>